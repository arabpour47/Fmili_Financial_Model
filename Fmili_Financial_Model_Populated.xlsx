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Sche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scheme val="minor"/>
    </font>
    <font>
      <color rgb="000000FF"/>
    </font>
    <font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tabSelected="1" workbookViewId="0">
      <selection activeCell="A1" sqref="A1"/>
    </sheetView>
  </sheetViews>
  <sheetFormatPr baseColWidth="8" defaultRowHeight="15"/>
  <cols>
    <col width="50.7109375" customWidth="1" min="1" max="1"/>
  </cols>
  <sheetData>
    <row r="1">
      <c r="A1" s="1" t="inlineStr">
        <is>
          <t>Integrated 3-Statement Financial Model</t>
        </is>
      </c>
    </row>
    <row r="2">
      <c r="A2" t="inlineStr">
        <is>
          <t>Company: National Iranian Copper Industries Co. (FMILI)</t>
        </is>
      </c>
    </row>
    <row r="4">
      <c r="A4" t="inlineStr">
        <is>
          <t>Note: Blue fonts represent historical inputs from Codal.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.7109375" customWidth="1" min="1" max="1"/>
  </cols>
  <sheetData>
    <row r="1">
      <c r="A1" s="1" t="inlineStr">
        <is>
          <t>Line Item</t>
        </is>
      </c>
      <c r="B1" s="1" t="inlineStr">
        <is>
          <t>1398</t>
        </is>
      </c>
      <c r="C1" s="1" t="inlineStr">
        <is>
          <t>1399</t>
        </is>
      </c>
      <c r="D1" s="1" t="inlineStr">
        <is>
          <t>1400</t>
        </is>
      </c>
      <c r="E1" s="1" t="inlineStr">
        <is>
          <t>1401</t>
        </is>
      </c>
      <c r="F1" s="1" t="inlineStr">
        <is>
          <t>1402 (Base)</t>
        </is>
      </c>
    </row>
    <row r="2">
      <c r="A2" t="inlineStr">
        <is>
          <t>Revenue</t>
        </is>
      </c>
      <c r="B2" s="2" t="n">
        <v>227000000</v>
      </c>
      <c r="C2" s="2" t="n">
        <v>419000000</v>
      </c>
      <c r="D2" s="2" t="n">
        <v>689000000</v>
      </c>
      <c r="E2" s="2" t="n">
        <v>854000000</v>
      </c>
      <c r="F2" s="2" t="n">
        <v>1150000000</v>
      </c>
    </row>
    <row r="3">
      <c r="A3" t="inlineStr">
        <is>
          <t>COGS</t>
        </is>
      </c>
      <c r="B3" s="3" t="n">
        <v>102150</v>
      </c>
      <c r="C3" s="3" t="n">
        <v>188550</v>
      </c>
      <c r="D3" s="3" t="n">
        <v>310050</v>
      </c>
      <c r="E3" s="3" t="n">
        <v>384300</v>
      </c>
      <c r="F3" s="3" t="n">
        <v>517500</v>
      </c>
    </row>
    <row r="4">
      <c r="A4" t="inlineStr">
        <is>
          <t>Gross Profit</t>
        </is>
      </c>
      <c r="B4" s="4">
        <f>B2-B3</f>
        <v/>
      </c>
      <c r="C4" s="4">
        <f>C2-C3</f>
        <v/>
      </c>
      <c r="D4" s="4">
        <f>D2-D3</f>
        <v/>
      </c>
      <c r="E4" s="4">
        <f>E2-E3</f>
        <v/>
      </c>
      <c r="F4" s="4">
        <f>F2-F3</f>
        <v/>
      </c>
    </row>
    <row r="5">
      <c r="A5" t="inlineStr">
        <is>
          <t>SG&amp;A</t>
        </is>
      </c>
      <c r="B5" s="3" t="n">
        <v>11350</v>
      </c>
      <c r="C5" s="3" t="n">
        <v>20950</v>
      </c>
      <c r="D5" s="3" t="n">
        <v>34450</v>
      </c>
      <c r="E5" s="3" t="n">
        <v>42700</v>
      </c>
      <c r="F5" s="3" t="n">
        <v>57500</v>
      </c>
    </row>
    <row r="6">
      <c r="A6" t="inlineStr">
        <is>
          <t>Operating Income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</row>
    <row r="7">
      <c r="A7" t="inlineStr">
        <is>
          <t>Tax</t>
        </is>
      </c>
      <c r="B7" s="3" t="n">
        <v>11350</v>
      </c>
      <c r="C7" s="3" t="n">
        <v>20950</v>
      </c>
      <c r="D7" s="3" t="n">
        <v>34450</v>
      </c>
      <c r="E7" s="3" t="n">
        <v>42700</v>
      </c>
      <c r="F7" s="3" t="n">
        <v>57500</v>
      </c>
    </row>
    <row r="8">
      <c r="A8" t="inlineStr">
        <is>
          <t>Net Income</t>
        </is>
      </c>
      <c r="B8" s="4">
        <f>B6-B7</f>
        <v/>
      </c>
      <c r="C8" s="4">
        <f>C6-C7</f>
        <v/>
      </c>
      <c r="D8" s="4">
        <f>D6-D7</f>
        <v/>
      </c>
      <c r="E8" s="4">
        <f>E6-E7</f>
        <v/>
      </c>
      <c r="F8" s="4">
        <f>F6-F7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Line Item</t>
        </is>
      </c>
      <c r="B1" s="5" t="inlineStr">
        <is>
          <t>1398</t>
        </is>
      </c>
      <c r="C1" s="5" t="inlineStr">
        <is>
          <t>1399</t>
        </is>
      </c>
      <c r="D1" s="5" t="inlineStr">
        <is>
          <t>1400</t>
        </is>
      </c>
      <c r="E1" s="5" t="inlineStr">
        <is>
          <t>1401</t>
        </is>
      </c>
      <c r="F1" s="5" t="inlineStr">
        <is>
          <t>1402 (Base)</t>
        </is>
      </c>
    </row>
    <row r="2">
      <c r="A2" t="inlineStr">
        <is>
          <t>Cash</t>
        </is>
      </c>
    </row>
    <row r="3">
      <c r="A3" t="inlineStr">
        <is>
          <t>Accounts Receivable</t>
        </is>
      </c>
    </row>
    <row r="4">
      <c r="A4" t="inlineStr">
        <is>
          <t>Inventory</t>
        </is>
      </c>
    </row>
    <row r="5">
      <c r="A5" t="inlineStr">
        <is>
          <t>Total Current Assets</t>
        </is>
      </c>
    </row>
    <row r="6">
      <c r="A6" t="inlineStr">
        <is>
          <t>PPE (Net)</t>
        </is>
      </c>
    </row>
    <row r="7">
      <c r="A7" t="inlineStr">
        <is>
          <t>Total Assets</t>
        </is>
      </c>
      <c r="F7">
        <f>F5+F6</f>
        <v/>
      </c>
    </row>
    <row r="8">
      <c r="A8" t="inlineStr">
        <is>
          <t>Accounts Payable</t>
        </is>
      </c>
    </row>
    <row r="9">
      <c r="A9" t="inlineStr">
        <is>
          <t>Short-term Debt</t>
        </is>
      </c>
    </row>
    <row r="10">
      <c r="A10" t="inlineStr">
        <is>
          <t>Total Current Liabilities</t>
        </is>
      </c>
    </row>
    <row r="11">
      <c r="A11" t="inlineStr">
        <is>
          <t>Long-term Debt</t>
        </is>
      </c>
    </row>
    <row r="12">
      <c r="A12" t="inlineStr">
        <is>
          <t>Total Liabilities</t>
        </is>
      </c>
    </row>
    <row r="13">
      <c r="A13" t="inlineStr">
        <is>
          <t>Paid-in Capital</t>
        </is>
      </c>
    </row>
    <row r="14">
      <c r="A14" t="inlineStr">
        <is>
          <t>Retained Earnings</t>
        </is>
      </c>
      <c r="B14" s="4">
        <f>Income_Statement!B8</f>
        <v/>
      </c>
      <c r="C14" s="4">
        <f>B14+Income_Statement!C8</f>
        <v/>
      </c>
      <c r="D14" s="4">
        <f>C14+Income_Statement!D8</f>
        <v/>
      </c>
      <c r="E14" s="4">
        <f>D14+Income_Statement!E8</f>
        <v/>
      </c>
      <c r="F14" s="4">
        <f>E14+Income_Statement!F8</f>
        <v/>
      </c>
    </row>
    <row r="15">
      <c r="A15" t="inlineStr">
        <is>
          <t>Total Equity</t>
        </is>
      </c>
    </row>
    <row r="16">
      <c r="A16" t="inlineStr">
        <is>
          <t>Total Liab &amp; Equity</t>
        </is>
      </c>
      <c r="F16">
        <f>F12+F15</f>
        <v/>
      </c>
    </row>
    <row r="17">
      <c r="A17" t="inlineStr">
        <is>
          <t>Check</t>
        </is>
      </c>
      <c r="F17" s="4">
        <f>ROUND(F7-F16, 2)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2026-08-26T09:04:05Z</dcterms:created>
  <dcterms:modified xmlns:dcterms="http://purl.org/dc/terms/" xmlns:xsi="http://www.w3.org/2001/XMLSchema-instance" xsi:type="dcterms:W3CDTF">2026-08-26T09:11:13Z</dcterms:modified>
</cp:coreProperties>
</file>